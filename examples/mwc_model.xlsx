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Interim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₱&quot;#,##0.00"/>
    <numFmt numFmtId="165" formatCode="0.0%"/>
    <numFmt numFmtId="166" formatCode="#,##0;(#,##0)"/>
    <numFmt numFmtId="167" formatCode="#,##0.00;(#,##0.00)"/>
    <numFmt numFmtId="168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0000"/>
    </font>
    <font>
      <color rgb="000000CC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168" fontId="0" fillId="0" borderId="0" pivotButton="0" quotePrefix="0" xfId="0"/>
    <xf numFmtId="3" fontId="0" fillId="0" borderId="0" pivotButton="0" quotePrefix="0" xfId="0"/>
    <xf numFmtId="164" fontId="3" fillId="2" borderId="0" pivotButton="0" quotePrefix="0" xfId="0"/>
    <xf numFmtId="164" fontId="0" fillId="0" borderId="0" pivotButton="0" quotePrefix="0" xfId="0"/>
    <xf numFmtId="165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Free Cash Flow (₱000)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'Model'!$B$2:$G$2</f>
            </numRef>
          </cat>
          <val>
            <numRef>
              <f>'Model'!$B$4:$G$4</f>
            </numRef>
          </val>
        </ser>
        <ser>
          <idx val="1"/>
          <order val="1"/>
          <tx>
            <v>Free cash flow (FCFF)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'Model'!$B$2:$G$2</f>
            </numRef>
          </cat>
          <val>
            <numRef>
              <f>'Model'!$B$11:$G$11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EPS (₱)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'Model'!$B$2:$G$2</f>
            </numRef>
          </cat>
          <val>
            <numRef>
              <f>'Model'!$B$14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'Model'!$B$2:$G$2</f>
            </numRef>
          </cat>
          <val>
            <numRef>
              <f>'Model'!$C$14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'Model'!$B$2:$G$2</f>
            </numRef>
          </cat>
          <val>
            <numRef>
              <f>'Model'!$D$14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'Model'!$B$2:$G$2</f>
            </numRef>
          </cat>
          <val>
            <numRef>
              <f>'Model'!$E$14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'Model'!$B$2:$G$2</f>
            </numRef>
          </cat>
          <val>
            <numRef>
              <f>'Model'!$F$14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'Model'!$B$2:$G$2</f>
            </numRef>
          </cat>
          <val>
            <numRef>
              <f>'Model'!$G$14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FINANCIAL SUMMARY</t>
        </is>
      </c>
    </row>
    <row r="2">
      <c r="A2" s="2" t="inlineStr">
        <is>
          <t>Rating / target — see Valuation tab</t>
        </is>
      </c>
    </row>
    <row r="3">
      <c r="A3" t="inlineStr">
        <is>
          <t>Recommendation</t>
        </is>
      </c>
      <c r="B3" s="3">
        <f>Valuation!B23</f>
        <v/>
      </c>
    </row>
    <row r="4">
      <c r="A4" t="inlineStr">
        <is>
          <t>Fair value / share (₱)</t>
        </is>
      </c>
      <c r="B4" s="4">
        <f>Valuation!B20</f>
        <v/>
      </c>
    </row>
    <row r="5">
      <c r="A5" t="inlineStr">
        <is>
          <t>Upside</t>
        </is>
      </c>
      <c r="B5" s="5">
        <f>Valuation!B22</f>
        <v/>
      </c>
    </row>
    <row r="7">
      <c r="A7" s="6" t="inlineStr">
        <is>
          <t>₱000 / FY</t>
        </is>
      </c>
      <c r="B7" s="7" t="inlineStr">
        <is>
          <t>2024E</t>
        </is>
      </c>
      <c r="C7" s="7" t="inlineStr">
        <is>
          <t>2025E</t>
        </is>
      </c>
      <c r="D7" s="7" t="inlineStr">
        <is>
          <t>2026E</t>
        </is>
      </c>
      <c r="E7" s="7" t="inlineStr">
        <is>
          <t>2027E</t>
        </is>
      </c>
    </row>
    <row r="8">
      <c r="A8" t="inlineStr">
        <is>
          <t>Revenue</t>
        </is>
      </c>
      <c r="B8" s="8">
        <f>Model!B4</f>
        <v/>
      </c>
      <c r="C8" s="8">
        <f>Model!C4</f>
        <v/>
      </c>
      <c r="D8" s="8">
        <f>Model!D4</f>
        <v/>
      </c>
      <c r="E8" s="8">
        <f>Model!E4</f>
        <v/>
      </c>
    </row>
    <row r="9">
      <c r="A9" t="inlineStr">
        <is>
          <t>EBIT</t>
        </is>
      </c>
      <c r="B9" s="8">
        <f>Model!B5</f>
        <v/>
      </c>
      <c r="C9" s="8">
        <f>Model!C5</f>
        <v/>
      </c>
      <c r="D9" s="8">
        <f>Model!D5</f>
        <v/>
      </c>
      <c r="E9" s="8">
        <f>Model!E5</f>
        <v/>
      </c>
    </row>
    <row r="10">
      <c r="A10" t="inlineStr">
        <is>
          <t>NOPAT</t>
        </is>
      </c>
      <c r="B10" s="8">
        <f>Model!B6</f>
        <v/>
      </c>
      <c r="C10" s="8">
        <f>Model!C6</f>
        <v/>
      </c>
      <c r="D10" s="8">
        <f>Model!D6</f>
        <v/>
      </c>
      <c r="E10" s="8">
        <f>Model!E6</f>
        <v/>
      </c>
    </row>
    <row r="11">
      <c r="A11" t="inlineStr">
        <is>
          <t>Free cash flow</t>
        </is>
      </c>
      <c r="B11" s="8">
        <f>Model!B11</f>
        <v/>
      </c>
      <c r="C11" s="8">
        <f>Model!C11</f>
        <v/>
      </c>
      <c r="D11" s="8">
        <f>Model!D11</f>
        <v/>
      </c>
      <c r="E11" s="8">
        <f>Model!E11</f>
        <v/>
      </c>
    </row>
    <row r="12">
      <c r="A12" t="inlineStr">
        <is>
          <t>Net income (parent)</t>
        </is>
      </c>
      <c r="B12" s="8">
        <f>Model!B13</f>
        <v/>
      </c>
      <c r="C12" s="8">
        <f>Model!C13</f>
        <v/>
      </c>
      <c r="D12" s="8">
        <f>Model!D13</f>
        <v/>
      </c>
      <c r="E12" s="8">
        <f>Model!E13</f>
        <v/>
      </c>
    </row>
    <row r="13">
      <c r="A13" t="inlineStr">
        <is>
          <t>EPS (₱)</t>
        </is>
      </c>
      <c r="B13" s="9">
        <f>Model!B14</f>
        <v/>
      </c>
      <c r="C13" s="9">
        <f>Model!C14</f>
        <v/>
      </c>
      <c r="D13" s="9">
        <f>Model!D14</f>
        <v/>
      </c>
      <c r="E13" s="9">
        <f>Model!E14</f>
        <v/>
      </c>
    </row>
  </sheetData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ASSUMPTIONS  —  edit blue cells; the model recomputes</t>
        </is>
      </c>
    </row>
    <row r="2">
      <c r="A2" t="inlineStr">
        <is>
          <t>Risk-free rate (PH 10Y)</t>
        </is>
      </c>
      <c r="B2" s="10" t="n">
        <v>0.06</v>
      </c>
    </row>
    <row r="3">
      <c r="A3" t="inlineStr">
        <is>
          <t>Mature-market ERP</t>
        </is>
      </c>
      <c r="B3" s="10" t="n">
        <v>0.046</v>
      </c>
    </row>
    <row r="4">
      <c r="A4" t="inlineStr">
        <is>
          <t>Beta (observed)</t>
        </is>
      </c>
      <c r="B4" s="11" t="n">
        <v>0.46</v>
      </c>
    </row>
    <row r="5">
      <c r="A5" t="inlineStr">
        <is>
          <t>Country risk premium</t>
        </is>
      </c>
      <c r="B5" s="10" t="n">
        <v>0.03</v>
      </c>
    </row>
    <row r="6">
      <c r="A6" s="12" t="inlineStr">
        <is>
          <t>Cost of equity (CAPM+CRP)</t>
        </is>
      </c>
      <c r="B6" s="13">
        <f>$B$2+$B$4*$B$3+$B$5</f>
        <v/>
      </c>
    </row>
    <row r="7">
      <c r="A7" t="inlineStr">
        <is>
          <t>Pre-tax cost of debt</t>
        </is>
      </c>
      <c r="B7" s="10" t="n">
        <v>0.057</v>
      </c>
    </row>
    <row r="8">
      <c r="A8" t="inlineStr">
        <is>
          <t>Tax rate</t>
        </is>
      </c>
      <c r="B8" s="10" t="n">
        <v>0.25</v>
      </c>
    </row>
    <row r="9">
      <c r="A9" s="12" t="inlineStr">
        <is>
          <t>After-tax cost of debt</t>
        </is>
      </c>
      <c r="B9" s="13">
        <f>$B$7*(1-$B$8)</f>
        <v/>
      </c>
    </row>
    <row r="10">
      <c r="A10" t="inlineStr">
        <is>
          <t>Equity weight (target)</t>
        </is>
      </c>
      <c r="B10" s="10" t="n">
        <v>0.6</v>
      </c>
    </row>
    <row r="11">
      <c r="A11" t="inlineStr">
        <is>
          <t>Debt weight (target)</t>
        </is>
      </c>
      <c r="B11" s="10" t="n">
        <v>0.4</v>
      </c>
    </row>
    <row r="12">
      <c r="A12" s="12" t="inlineStr">
        <is>
          <t>WACC</t>
        </is>
      </c>
      <c r="B12" s="13">
        <f>$B$10*$B$6+$B$11*$B$9</f>
        <v/>
      </c>
    </row>
    <row r="13">
      <c r="A13" t="inlineStr">
        <is>
          <t>Terminal growth</t>
        </is>
      </c>
      <c r="B13" s="10" t="n">
        <v>0.025</v>
      </c>
    </row>
    <row r="15">
      <c r="A15" t="inlineStr">
        <is>
          <t>EBIT margin</t>
        </is>
      </c>
      <c r="B15" s="10" t="n">
        <v>0.5468790396770385</v>
      </c>
    </row>
    <row r="16">
      <c r="A16" t="inlineStr">
        <is>
          <t>D&amp;A % of revenue</t>
        </is>
      </c>
      <c r="B16" s="10" t="n">
        <v>0.135505029827859</v>
      </c>
    </row>
    <row r="17">
      <c r="A17" t="inlineStr">
        <is>
          <t>CapEx % revenue (base)</t>
        </is>
      </c>
      <c r="B17" s="10" t="n">
        <v>0.640104067707247</v>
      </c>
    </row>
    <row r="18">
      <c r="A18" t="inlineStr">
        <is>
          <t>CapEx % revenue (terminal)</t>
        </is>
      </c>
      <c r="B18" s="10" t="n">
        <v>0.3</v>
      </c>
    </row>
    <row r="19">
      <c r="A19" t="inlineStr">
        <is>
          <t>Δ NWC % of Δrevenue</t>
        </is>
      </c>
      <c r="B19" s="10" t="n">
        <v>0.01</v>
      </c>
    </row>
    <row r="21">
      <c r="A21" t="inlineStr">
        <is>
          <t>Base revenue FY2024E (₱000)</t>
        </is>
      </c>
      <c r="B21" s="14" t="n">
        <v>36729421.33333333</v>
      </c>
    </row>
    <row r="22">
      <c r="A22" t="inlineStr">
        <is>
          <t>Base parent net income FY2024E (₱000)</t>
        </is>
      </c>
      <c r="B22" s="14" t="n">
        <v>13470128</v>
      </c>
    </row>
    <row r="23">
      <c r="A23" s="12" t="inlineStr">
        <is>
          <t>Net margin (parent)</t>
        </is>
      </c>
      <c r="B23" s="13">
        <f>$B$22/$B$21</f>
        <v/>
      </c>
    </row>
    <row r="25">
      <c r="A25" t="inlineStr">
        <is>
          <t>Revenue growth 2025</t>
        </is>
      </c>
      <c r="B25" s="10" t="n">
        <v>0.1</v>
      </c>
    </row>
    <row r="26">
      <c r="A26" t="inlineStr">
        <is>
          <t>Revenue growth 2026</t>
        </is>
      </c>
      <c r="B26" s="10" t="n">
        <v>0.08</v>
      </c>
    </row>
    <row r="27">
      <c r="A27" t="inlineStr">
        <is>
          <t>Revenue growth 2027</t>
        </is>
      </c>
      <c r="B27" s="10" t="n">
        <v>0.07000000000000001</v>
      </c>
    </row>
    <row r="28">
      <c r="A28" t="inlineStr">
        <is>
          <t>Revenue growth 2028</t>
        </is>
      </c>
      <c r="B28" s="10" t="n">
        <v>0.06</v>
      </c>
    </row>
    <row r="29">
      <c r="A29" t="inlineStr">
        <is>
          <t>Revenue growth 2029</t>
        </is>
      </c>
      <c r="B29" s="10" t="n">
        <v>0.05</v>
      </c>
    </row>
    <row r="31">
      <c r="A31" t="inlineStr">
        <is>
          <t>Net debt (₱000)</t>
        </is>
      </c>
      <c r="B31" s="14" t="n">
        <v>94514464</v>
      </c>
    </row>
    <row r="32">
      <c r="A32" t="inlineStr">
        <is>
          <t>Non-controlling interests (₱000)</t>
        </is>
      </c>
      <c r="B32" s="14" t="n">
        <v>1973326</v>
      </c>
    </row>
    <row r="33">
      <c r="A33" t="inlineStr">
        <is>
          <t>Preferred (book, ₱000)</t>
        </is>
      </c>
      <c r="B33" s="14" t="n">
        <v>400000</v>
      </c>
    </row>
    <row r="34">
      <c r="A34" t="inlineStr">
        <is>
          <t>Common shares outstanding</t>
        </is>
      </c>
      <c r="B34" s="15" t="n">
        <v>2597094010</v>
      </c>
    </row>
    <row r="35">
      <c r="A35" t="inlineStr">
        <is>
          <t>Current price (₱)</t>
        </is>
      </c>
      <c r="B35" s="16" t="n">
        <v>22.36</v>
      </c>
    </row>
  </sheetData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THREE-STATEMENT MODEL  (₱ thousands)</t>
        </is>
      </c>
    </row>
    <row r="2">
      <c r="A2" s="6" t="inlineStr">
        <is>
          <t>₱000 / FY</t>
        </is>
      </c>
      <c r="B2" s="7" t="inlineStr">
        <is>
          <t>2024E</t>
        </is>
      </c>
      <c r="C2" s="7" t="inlineStr">
        <is>
          <t>2025E</t>
        </is>
      </c>
      <c r="D2" s="7" t="inlineStr">
        <is>
          <t>2026E</t>
        </is>
      </c>
      <c r="E2" s="7" t="inlineStr">
        <is>
          <t>2027E</t>
        </is>
      </c>
      <c r="F2" s="7" t="inlineStr">
        <is>
          <t>2028F</t>
        </is>
      </c>
      <c r="G2" s="7" t="inlineStr">
        <is>
          <t>2029F</t>
        </is>
      </c>
    </row>
    <row r="4">
      <c r="A4" s="12" t="inlineStr">
        <is>
          <t>Revenue</t>
        </is>
      </c>
      <c r="B4" s="17">
        <f>Assumptions!$B$21</f>
        <v/>
      </c>
      <c r="C4" s="17">
        <f>B4*(1+Assumptions!$B$25)</f>
        <v/>
      </c>
      <c r="D4" s="17">
        <f>C4*(1+Assumptions!$B$26)</f>
        <v/>
      </c>
      <c r="E4" s="17">
        <f>D4*(1+Assumptions!$B$27)</f>
        <v/>
      </c>
      <c r="F4" s="17">
        <f>E4*(1+Assumptions!$B$28)</f>
        <v/>
      </c>
      <c r="G4" s="17">
        <f>F4*(1+Assumptions!$B$29)</f>
        <v/>
      </c>
    </row>
    <row r="5">
      <c r="A5" t="inlineStr">
        <is>
          <t>EBIT</t>
        </is>
      </c>
      <c r="B5" s="8">
        <f>B4*Assumptions!$B$15</f>
        <v/>
      </c>
      <c r="C5" s="8">
        <f>C4*Assumptions!$B$15</f>
        <v/>
      </c>
      <c r="D5" s="8">
        <f>D4*Assumptions!$B$15</f>
        <v/>
      </c>
      <c r="E5" s="8">
        <f>E4*Assumptions!$B$15</f>
        <v/>
      </c>
      <c r="F5" s="8">
        <f>F4*Assumptions!$B$15</f>
        <v/>
      </c>
      <c r="G5" s="8">
        <f>G4*Assumptions!$B$15</f>
        <v/>
      </c>
    </row>
    <row r="6">
      <c r="A6" t="inlineStr">
        <is>
          <t>NOPAT</t>
        </is>
      </c>
      <c r="B6" s="8">
        <f>B5*(1-Assumptions!$B$8)</f>
        <v/>
      </c>
      <c r="C6" s="8">
        <f>C5*(1-Assumptions!$B$8)</f>
        <v/>
      </c>
      <c r="D6" s="8">
        <f>D5*(1-Assumptions!$B$8)</f>
        <v/>
      </c>
      <c r="E6" s="8">
        <f>E5*(1-Assumptions!$B$8)</f>
        <v/>
      </c>
      <c r="F6" s="8">
        <f>F5*(1-Assumptions!$B$8)</f>
        <v/>
      </c>
      <c r="G6" s="8">
        <f>G5*(1-Assumptions!$B$8)</f>
        <v/>
      </c>
    </row>
    <row r="7">
      <c r="A7" t="inlineStr">
        <is>
          <t>D&amp;A</t>
        </is>
      </c>
      <c r="B7" s="8">
        <f>B4*Assumptions!$B$16</f>
        <v/>
      </c>
      <c r="C7" s="8">
        <f>C4*Assumptions!$B$16</f>
        <v/>
      </c>
      <c r="D7" s="8">
        <f>D4*Assumptions!$B$16</f>
        <v/>
      </c>
      <c r="E7" s="8">
        <f>E4*Assumptions!$B$16</f>
        <v/>
      </c>
      <c r="F7" s="8">
        <f>F4*Assumptions!$B$16</f>
        <v/>
      </c>
      <c r="G7" s="8">
        <f>G4*Assumptions!$B$16</f>
        <v/>
      </c>
    </row>
    <row r="8">
      <c r="A8" t="inlineStr">
        <is>
          <t>CapEx % revenue</t>
        </is>
      </c>
      <c r="B8" s="18">
        <f>Assumptions!$B$17</f>
        <v/>
      </c>
      <c r="C8" s="18">
        <f>Assumptions!$B$17+(Assumptions!$B$18-Assumptions!$B$17)*0.2</f>
        <v/>
      </c>
      <c r="D8" s="18">
        <f>Assumptions!$B$17+(Assumptions!$B$18-Assumptions!$B$17)*0.4</f>
        <v/>
      </c>
      <c r="E8" s="18">
        <f>Assumptions!$B$17+(Assumptions!$B$18-Assumptions!$B$17)*0.6</f>
        <v/>
      </c>
      <c r="F8" s="18">
        <f>Assumptions!$B$17+(Assumptions!$B$18-Assumptions!$B$17)*0.8</f>
        <v/>
      </c>
      <c r="G8" s="18">
        <f>Assumptions!$B$17+(Assumptions!$B$18-Assumptions!$B$17)*1.0</f>
        <v/>
      </c>
    </row>
    <row r="9">
      <c r="A9" t="inlineStr">
        <is>
          <t>CapEx</t>
        </is>
      </c>
      <c r="B9" s="8">
        <f>B4*B8</f>
        <v/>
      </c>
      <c r="C9" s="8">
        <f>C4*C8</f>
        <v/>
      </c>
      <c r="D9" s="8">
        <f>D4*D8</f>
        <v/>
      </c>
      <c r="E9" s="8">
        <f>E4*E8</f>
        <v/>
      </c>
      <c r="F9" s="8">
        <f>F4*F8</f>
        <v/>
      </c>
      <c r="G9" s="8">
        <f>G4*G8</f>
        <v/>
      </c>
    </row>
    <row r="10">
      <c r="A10" t="inlineStr">
        <is>
          <t>Δ NWC</t>
        </is>
      </c>
      <c r="B10" s="8">
        <f>0</f>
        <v/>
      </c>
      <c r="C10" s="8">
        <f>(C4-B4)*Assumptions!$B$19</f>
        <v/>
      </c>
      <c r="D10" s="8">
        <f>(D4-C4)*Assumptions!$B$19</f>
        <v/>
      </c>
      <c r="E10" s="8">
        <f>(E4-D4)*Assumptions!$B$19</f>
        <v/>
      </c>
      <c r="F10" s="8">
        <f>(F4-E4)*Assumptions!$B$19</f>
        <v/>
      </c>
      <c r="G10" s="8">
        <f>(G4-F4)*Assumptions!$B$19</f>
        <v/>
      </c>
    </row>
    <row r="11">
      <c r="A11" s="19" t="inlineStr">
        <is>
          <t>Free cash flow (FCFF)</t>
        </is>
      </c>
      <c r="B11" s="17">
        <f>B6+B7-B9-B10</f>
        <v/>
      </c>
      <c r="C11" s="17">
        <f>C6+C7-C9-C10</f>
        <v/>
      </c>
      <c r="D11" s="17">
        <f>D6+D7-D9-D10</f>
        <v/>
      </c>
      <c r="E11" s="17">
        <f>E6+E7-E9-E10</f>
        <v/>
      </c>
      <c r="F11" s="17">
        <f>F6+F7-F9-F10</f>
        <v/>
      </c>
      <c r="G11" s="17">
        <f>G6+G7-G9-G10</f>
        <v/>
      </c>
    </row>
    <row r="13">
      <c r="A13" t="inlineStr">
        <is>
          <t>Net income (parent)</t>
        </is>
      </c>
      <c r="B13" s="8">
        <f>Assumptions!$B$22</f>
        <v/>
      </c>
      <c r="C13" s="8">
        <f>C4*Assumptions!$B$23</f>
        <v/>
      </c>
      <c r="D13" s="8">
        <f>D4*Assumptions!$B$23</f>
        <v/>
      </c>
      <c r="E13" s="8">
        <f>E4*Assumptions!$B$23</f>
        <v/>
      </c>
      <c r="F13" s="8">
        <f>F4*Assumptions!$B$23</f>
        <v/>
      </c>
      <c r="G13" s="8">
        <f>G4*Assumptions!$B$23</f>
        <v/>
      </c>
    </row>
    <row r="14">
      <c r="A14" t="inlineStr">
        <is>
          <t>EPS (₱)</t>
        </is>
      </c>
      <c r="B14" s="9">
        <f>B13*1000/Assumptions!$B$34</f>
        <v/>
      </c>
      <c r="C14" s="9">
        <f>C13*1000/Assumptions!$B$34</f>
        <v/>
      </c>
      <c r="D14" s="9">
        <f>D13*1000/Assumptions!$B$34</f>
        <v/>
      </c>
      <c r="E14" s="9">
        <f>E13*1000/Assumptions!$B$34</f>
        <v/>
      </c>
      <c r="F14" s="9">
        <f>F13*1000/Assumptions!$B$34</f>
        <v/>
      </c>
      <c r="G14" s="9">
        <f>G13*1000/Assumptions!$B$34</f>
        <v/>
      </c>
    </row>
    <row r="15">
      <c r="A15" t="inlineStr">
        <is>
          <t>EPS growth</t>
        </is>
      </c>
      <c r="B15" s="18" t="inlineStr"/>
      <c r="C15" s="18">
        <f>C14/B14-1</f>
        <v/>
      </c>
      <c r="D15" s="18">
        <f>D14/C14-1</f>
        <v/>
      </c>
      <c r="E15" s="18">
        <f>E14/D14-1</f>
        <v/>
      </c>
      <c r="F15" s="18">
        <f>F14/E14-1</f>
        <v/>
      </c>
      <c r="G15" s="18">
        <f>G14/F14-1</f>
        <v/>
      </c>
    </row>
  </sheetData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DCF VALUATION</t>
        </is>
      </c>
    </row>
    <row r="2">
      <c r="A2" t="inlineStr">
        <is>
          <t>WACC</t>
        </is>
      </c>
      <c r="B2" s="5">
        <f>Assumptions!$B$12</f>
        <v/>
      </c>
    </row>
    <row r="3">
      <c r="A3" t="inlineStr">
        <is>
          <t>Terminal growth</t>
        </is>
      </c>
      <c r="B3" s="18">
        <f>Assumptions!$B$13</f>
        <v/>
      </c>
    </row>
    <row r="5">
      <c r="A5" s="6" t="inlineStr">
        <is>
          <t>FY</t>
        </is>
      </c>
      <c r="C5" s="7" t="inlineStr">
        <is>
          <t>2025E</t>
        </is>
      </c>
      <c r="D5" s="7" t="inlineStr">
        <is>
          <t>2026E</t>
        </is>
      </c>
      <c r="E5" s="7" t="inlineStr">
        <is>
          <t>2027E</t>
        </is>
      </c>
      <c r="F5" s="7" t="inlineStr">
        <is>
          <t>2028F</t>
        </is>
      </c>
      <c r="G5" s="7" t="inlineStr">
        <is>
          <t>2029F</t>
        </is>
      </c>
    </row>
    <row r="6">
      <c r="A6" t="inlineStr">
        <is>
          <t>Free cash flow</t>
        </is>
      </c>
      <c r="C6" s="8">
        <f>Model!C11</f>
        <v/>
      </c>
      <c r="D6" s="8">
        <f>Model!D11</f>
        <v/>
      </c>
      <c r="E6" s="8">
        <f>Model!E11</f>
        <v/>
      </c>
      <c r="F6" s="8">
        <f>Model!F11</f>
        <v/>
      </c>
      <c r="G6" s="8">
        <f>Model!G11</f>
        <v/>
      </c>
    </row>
    <row r="7">
      <c r="A7" t="inlineStr">
        <is>
          <t>Discount factor</t>
        </is>
      </c>
      <c r="C7" s="20">
        <f>1/(1+$B$2)^1</f>
        <v/>
      </c>
      <c r="D7" s="20">
        <f>1/(1+$B$2)^2</f>
        <v/>
      </c>
      <c r="E7" s="20">
        <f>1/(1+$B$2)^3</f>
        <v/>
      </c>
      <c r="F7" s="20">
        <f>1/(1+$B$2)^4</f>
        <v/>
      </c>
      <c r="G7" s="20">
        <f>1/(1+$B$2)^5</f>
        <v/>
      </c>
    </row>
    <row r="8">
      <c r="A8" t="inlineStr">
        <is>
          <t>PV of FCF</t>
        </is>
      </c>
      <c r="C8" s="8">
        <f>C6*C7</f>
        <v/>
      </c>
      <c r="D8" s="8">
        <f>D6*D7</f>
        <v/>
      </c>
      <c r="E8" s="8">
        <f>E6*E7</f>
        <v/>
      </c>
      <c r="F8" s="8">
        <f>F6*F7</f>
        <v/>
      </c>
      <c r="G8" s="8">
        <f>G6*G7</f>
        <v/>
      </c>
    </row>
    <row r="10">
      <c r="A10" s="12" t="inlineStr">
        <is>
          <t>Σ PV of explicit FCF</t>
        </is>
      </c>
      <c r="B10" s="17">
        <f>SUM(C8:G8)</f>
        <v/>
      </c>
    </row>
    <row r="11">
      <c r="A11" t="inlineStr">
        <is>
          <t>Terminal-year FCF</t>
        </is>
      </c>
      <c r="B11" s="8">
        <f>G6</f>
        <v/>
      </c>
    </row>
    <row r="12">
      <c r="A12" t="inlineStr">
        <is>
          <t>Terminal value (Gordon)</t>
        </is>
      </c>
      <c r="B12" s="8">
        <f>B11*(1+B3)/(B2-B3)</f>
        <v/>
      </c>
    </row>
    <row r="13">
      <c r="A13" t="inlineStr">
        <is>
          <t>PV of terminal value</t>
        </is>
      </c>
      <c r="B13" s="8">
        <f>B12/(1+B2)^5</f>
        <v/>
      </c>
    </row>
    <row r="14">
      <c r="A14" s="12" t="inlineStr">
        <is>
          <t>Enterprise value</t>
        </is>
      </c>
      <c r="B14" s="17">
        <f>B10+B13</f>
        <v/>
      </c>
    </row>
    <row r="15">
      <c r="A15" t="inlineStr">
        <is>
          <t>Less: net debt</t>
        </is>
      </c>
      <c r="B15" s="8">
        <f>-Assumptions!$B$31</f>
        <v/>
      </c>
    </row>
    <row r="16">
      <c r="A16" t="inlineStr">
        <is>
          <t>Less: NCI</t>
        </is>
      </c>
      <c r="B16" s="8">
        <f>-Assumptions!$B$32</f>
        <v/>
      </c>
    </row>
    <row r="17">
      <c r="A17" t="inlineStr">
        <is>
          <t>Less: preferred</t>
        </is>
      </c>
      <c r="B17" s="8">
        <f>-Assumptions!$B$33</f>
        <v/>
      </c>
    </row>
    <row r="18">
      <c r="A18" s="12" t="inlineStr">
        <is>
          <t>Common equity value</t>
        </is>
      </c>
      <c r="B18" s="17">
        <f>B14+B15+B16+B17</f>
        <v/>
      </c>
    </row>
    <row r="19">
      <c r="A19" t="inlineStr">
        <is>
          <t>Common shares</t>
        </is>
      </c>
      <c r="B19" s="21">
        <f>Assumptions!$B$34</f>
        <v/>
      </c>
    </row>
    <row r="20">
      <c r="A20" s="3" t="inlineStr">
        <is>
          <t>FAIR VALUE / SHARE (₱)</t>
        </is>
      </c>
      <c r="B20" s="22">
        <f>B18*1000/B19</f>
        <v/>
      </c>
    </row>
    <row r="21">
      <c r="A21" t="inlineStr">
        <is>
          <t>Current price (₱)</t>
        </is>
      </c>
      <c r="B21" s="23">
        <f>Assumptions!$B$35</f>
        <v/>
      </c>
    </row>
    <row r="22">
      <c r="A22" s="12" t="inlineStr">
        <is>
          <t>Upside / (downside)</t>
        </is>
      </c>
      <c r="B22" s="5">
        <f>B20/B21-1</f>
        <v/>
      </c>
    </row>
    <row r="23">
      <c r="A23" s="3" t="inlineStr">
        <is>
          <t>Recommendation</t>
        </is>
      </c>
      <c r="B23" s="3">
        <f>IF(B22&gt;0.1,"BUY",IF(B22&gt;=0,"HOLD","UNDERPERFORM"))</f>
        <v/>
      </c>
    </row>
    <row r="26">
      <c r="A26" s="12" t="inlineStr">
        <is>
          <t>SENSITIVITY — fair value/share (₱)</t>
        </is>
      </c>
    </row>
    <row r="27">
      <c r="A27" s="6" t="inlineStr">
        <is>
          <t>WACC ↓  /  g →</t>
        </is>
      </c>
      <c r="C27" s="24" t="n">
        <v>0.015</v>
      </c>
      <c r="D27" s="24" t="n">
        <v>0.02</v>
      </c>
      <c r="E27" s="24" t="n">
        <v>0.025</v>
      </c>
      <c r="F27" s="24" t="n">
        <v>0.03</v>
      </c>
      <c r="G27" s="24" t="n">
        <v>0.035</v>
      </c>
    </row>
    <row r="28">
      <c r="A28" s="18" t="n">
        <v>0.0738</v>
      </c>
      <c r="C28" s="9" t="n">
        <v>29.77</v>
      </c>
      <c r="D28" s="9" t="n">
        <v>35.6</v>
      </c>
      <c r="E28" s="9" t="n">
        <v>42.63</v>
      </c>
      <c r="F28" s="9" t="n">
        <v>51.26</v>
      </c>
      <c r="G28" s="9" t="n">
        <v>62.12</v>
      </c>
    </row>
    <row r="29">
      <c r="A29" s="18" t="n">
        <v>0.0788</v>
      </c>
      <c r="C29" s="9" t="n">
        <v>23.71</v>
      </c>
      <c r="D29" s="9" t="n">
        <v>28.54</v>
      </c>
      <c r="E29" s="9" t="n">
        <v>34.27</v>
      </c>
      <c r="F29" s="9" t="n">
        <v>41.16</v>
      </c>
      <c r="G29" s="9" t="n">
        <v>49.64</v>
      </c>
    </row>
    <row r="30">
      <c r="A30" s="18" t="n">
        <v>0.0838</v>
      </c>
      <c r="C30" s="9" t="n">
        <v>18.55</v>
      </c>
      <c r="D30" s="9" t="n">
        <v>22.6</v>
      </c>
      <c r="E30" s="9" t="n">
        <v>27.34</v>
      </c>
      <c r="F30" s="9" t="n">
        <v>32.96</v>
      </c>
      <c r="G30" s="9" t="n">
        <v>39.73</v>
      </c>
    </row>
    <row r="31">
      <c r="A31" s="18" t="n">
        <v>0.0888</v>
      </c>
      <c r="C31" s="9" t="n">
        <v>14.1</v>
      </c>
      <c r="D31" s="9" t="n">
        <v>17.54</v>
      </c>
      <c r="E31" s="9" t="n">
        <v>21.52</v>
      </c>
      <c r="F31" s="9" t="n">
        <v>26.17</v>
      </c>
      <c r="G31" s="9" t="n">
        <v>31.69</v>
      </c>
    </row>
    <row r="32">
      <c r="A32" s="18" t="n">
        <v>0.09379999999999999</v>
      </c>
      <c r="C32" s="9" t="n">
        <v>10.23</v>
      </c>
      <c r="D32" s="9" t="n">
        <v>13.18</v>
      </c>
      <c r="E32" s="9" t="n">
        <v>16.55</v>
      </c>
      <c r="F32" s="9" t="n">
        <v>20.45</v>
      </c>
      <c r="G32" s="9" t="n">
        <v>25.02</v>
      </c>
    </row>
  </sheetData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INTERIM RESULTS — income statement (₱000, from filing)</t>
        </is>
      </c>
    </row>
    <row r="2">
      <c r="B2" s="7" t="inlineStr">
        <is>
          <t>Q3 2024</t>
        </is>
      </c>
      <c r="C2" s="7" t="inlineStr">
        <is>
          <t>Q3 2023</t>
        </is>
      </c>
      <c r="D2" s="7" t="inlineStr">
        <is>
          <t>9M 2024</t>
        </is>
      </c>
      <c r="E2" s="7" t="inlineStr">
        <is>
          <t>9M 2023</t>
        </is>
      </c>
    </row>
    <row r="3">
      <c r="A3" t="inlineStr">
        <is>
          <t>Water and used water revenues</t>
        </is>
      </c>
      <c r="B3" s="8" t="n">
        <v>8683338</v>
      </c>
      <c r="C3" s="8" t="n">
        <v>7331123</v>
      </c>
      <c r="D3" s="8" t="n">
        <v>26045906</v>
      </c>
      <c r="E3" s="8" t="n">
        <v>21311373</v>
      </c>
    </row>
    <row r="4">
      <c r="A4" t="inlineStr">
        <is>
          <t>Other operating revenues</t>
        </is>
      </c>
      <c r="B4" s="8" t="n">
        <v>465918</v>
      </c>
      <c r="C4" s="8" t="n">
        <v>346921</v>
      </c>
      <c r="D4" s="8" t="n">
        <v>1363177</v>
      </c>
      <c r="E4" s="8" t="n">
        <v>1619191</v>
      </c>
    </row>
    <row r="5">
      <c r="A5" t="inlineStr">
        <is>
          <t>FINANCE INCOME FROM CONTRACT ASSETS</t>
        </is>
      </c>
      <c r="B5" s="8" t="n">
        <v>43613</v>
      </c>
      <c r="C5" s="8" t="n">
        <v>74921</v>
      </c>
      <c r="D5" s="8" t="n">
        <v>137983</v>
      </c>
      <c r="E5" s="8" t="n">
        <v>213636</v>
      </c>
    </row>
    <row r="6">
      <c r="A6" t="inlineStr"/>
      <c r="B6" s="8" t="n">
        <v>9192869</v>
      </c>
      <c r="C6" s="8" t="n">
        <v>7752965</v>
      </c>
      <c r="D6" s="8" t="n">
        <v>27547066</v>
      </c>
      <c r="E6" s="8" t="n">
        <v>23144200</v>
      </c>
    </row>
    <row r="7">
      <c r="A7" t="inlineStr">
        <is>
          <t>Depreciation and amortization</t>
        </is>
      </c>
      <c r="B7" s="8" t="n">
        <v>1161973</v>
      </c>
      <c r="C7" s="8" t="n">
        <v>958371</v>
      </c>
      <c r="D7" s="8" t="n">
        <v>3274208</v>
      </c>
      <c r="E7" s="8" t="n">
        <v>2703583</v>
      </c>
    </row>
    <row r="8">
      <c r="A8" t="inlineStr">
        <is>
          <t>Power, light and water</t>
        </is>
      </c>
      <c r="B8" s="8" t="n">
        <v>606697</v>
      </c>
      <c r="C8" s="8" t="n">
        <v>583914</v>
      </c>
      <c r="D8" s="8" t="n">
        <v>1819059</v>
      </c>
      <c r="E8" s="8" t="n">
        <v>1791680</v>
      </c>
    </row>
    <row r="9">
      <c r="A9" t="inlineStr">
        <is>
          <t>Salaries, wages and employee benefits</t>
        </is>
      </c>
      <c r="B9" s="8" t="n">
        <v>348337</v>
      </c>
      <c r="C9" s="8" t="n">
        <v>386785</v>
      </c>
      <c r="D9" s="8" t="n">
        <v>1026250</v>
      </c>
      <c r="E9" s="8" t="n">
        <v>960288</v>
      </c>
    </row>
    <row r="10">
      <c r="A10" t="inlineStr">
        <is>
          <t>Water treatment chemicals</t>
        </is>
      </c>
      <c r="B10" s="8" t="n">
        <v>133918</v>
      </c>
      <c r="C10" s="8" t="n">
        <v>102356</v>
      </c>
      <c r="D10" s="8" t="n">
        <v>302219</v>
      </c>
      <c r="E10" s="8" t="n">
        <v>253980</v>
      </c>
    </row>
    <row r="11">
      <c r="A11" t="inlineStr">
        <is>
          <t>Regulatory costs</t>
        </is>
      </c>
      <c r="B11" s="8" t="n">
        <v>118692</v>
      </c>
      <c r="C11" s="8" t="n">
        <v>96825</v>
      </c>
      <c r="D11" s="8" t="n">
        <v>360164</v>
      </c>
      <c r="E11" s="8" t="n">
        <v>289858</v>
      </c>
    </row>
    <row r="12">
      <c r="A12" t="inlineStr">
        <is>
          <t>Contractual services</t>
        </is>
      </c>
      <c r="B12" s="8" t="n">
        <v>116346</v>
      </c>
      <c r="C12" s="8" t="n">
        <v>130462</v>
      </c>
      <c r="D12" s="8" t="n">
        <v>311571</v>
      </c>
      <c r="E12" s="8" t="n">
        <v>519472</v>
      </c>
    </row>
    <row r="13">
      <c r="A13" t="inlineStr">
        <is>
          <t>Repairs and maintenance</t>
        </is>
      </c>
      <c r="B13" s="8" t="n">
        <v>100236</v>
      </c>
      <c r="C13" s="8" t="n">
        <v>110011</v>
      </c>
      <c r="D13" s="8" t="n">
        <v>390275</v>
      </c>
      <c r="E13" s="8" t="n">
        <v>339242</v>
      </c>
    </row>
    <row r="14">
      <c r="A14" t="inlineStr">
        <is>
          <t>Wastewater costs</t>
        </is>
      </c>
      <c r="B14" s="8" t="n">
        <v>55361</v>
      </c>
      <c r="C14" s="8" t="n">
        <v>43313</v>
      </c>
      <c r="D14" s="8" t="n">
        <v>163281</v>
      </c>
      <c r="E14" s="8" t="n">
        <v>162036</v>
      </c>
    </row>
    <row r="15">
      <c r="A15" t="inlineStr">
        <is>
          <t>Water tankering and bulk water</t>
        </is>
      </c>
      <c r="B15" s="8" t="n">
        <v>-46609</v>
      </c>
      <c r="C15" s="8" t="n">
        <v>62913</v>
      </c>
      <c r="D15" s="8" t="n">
        <v>150729</v>
      </c>
      <c r="E15" s="8" t="n">
        <v>183378</v>
      </c>
    </row>
    <row r="16">
      <c r="A16" t="inlineStr">
        <is>
          <t>Collection fees</t>
        </is>
      </c>
      <c r="B16" s="8" t="n">
        <v>41425</v>
      </c>
      <c r="C16" s="8" t="n">
        <v>41796</v>
      </c>
      <c r="D16" s="8" t="n">
        <v>121415</v>
      </c>
      <c r="E16" s="8" t="n">
        <v>119022</v>
      </c>
    </row>
    <row r="17">
      <c r="A17" t="inlineStr">
        <is>
          <t>Amortization of water service connections</t>
        </is>
      </c>
      <c r="B17" s="8" t="n">
        <v>37265</v>
      </c>
      <c r="C17" s="8" t="n">
        <v>48999</v>
      </c>
      <c r="D17" s="8" t="n">
        <v>132065</v>
      </c>
      <c r="E17" s="8" t="n">
        <v>135767</v>
      </c>
    </row>
    <row r="18">
      <c r="A18" t="inlineStr">
        <is>
          <t>Other expenses</t>
        </is>
      </c>
      <c r="B18" s="8" t="n">
        <v>106910</v>
      </c>
      <c r="C18" s="8" t="n">
        <v>68374</v>
      </c>
      <c r="D18" s="8" t="n">
        <v>398691</v>
      </c>
      <c r="E18" s="8" t="n">
        <v>199237</v>
      </c>
    </row>
    <row r="19">
      <c r="A19" t="inlineStr"/>
      <c r="B19" s="8" t="n">
        <v>2780551</v>
      </c>
      <c r="C19" s="8" t="n">
        <v>2634119</v>
      </c>
      <c r="D19" s="8" t="n">
        <v>8449927</v>
      </c>
      <c r="E19" s="8" t="n">
        <v>7657543</v>
      </c>
    </row>
    <row r="20">
      <c r="A20" t="inlineStr">
        <is>
          <t>GROSS PROFIT</t>
        </is>
      </c>
      <c r="B20" s="8" t="n">
        <v>6412318</v>
      </c>
      <c r="C20" s="8" t="n">
        <v>5118846</v>
      </c>
      <c r="D20" s="8" t="n">
        <v>19097139</v>
      </c>
      <c r="E20" s="8" t="n">
        <v>15486657</v>
      </c>
    </row>
    <row r="21">
      <c r="A21" t="inlineStr">
        <is>
          <t>OPERATING EXPENSES</t>
        </is>
      </c>
      <c r="B21" s="8" t="n">
        <v>1430382</v>
      </c>
      <c r="C21" s="8" t="n">
        <v>1267584</v>
      </c>
      <c r="D21" s="8" t="n">
        <v>4032226</v>
      </c>
      <c r="E21" s="8" t="n">
        <v>3933620</v>
      </c>
    </row>
    <row r="22">
      <c r="A22" t="inlineStr">
        <is>
          <t>INCOME BEFORE OTHER INCOME (EXPENSES)</t>
        </is>
      </c>
      <c r="B22" s="8" t="n">
        <v>4981936</v>
      </c>
      <c r="C22" s="8" t="n">
        <v>3851262</v>
      </c>
      <c r="D22" s="8" t="n">
        <v>15064913</v>
      </c>
      <c r="E22" s="8" t="n">
        <v>11553037</v>
      </c>
    </row>
    <row r="23">
      <c r="A23" t="inlineStr">
        <is>
          <t>Revenue from rehabilitation works</t>
        </is>
      </c>
      <c r="B23" s="8" t="n">
        <v>6567710</v>
      </c>
      <c r="C23" s="8" t="n">
        <v>4572085</v>
      </c>
      <c r="D23" s="8" t="n">
        <v>16237206</v>
      </c>
      <c r="E23" s="8" t="n">
        <v>11493301</v>
      </c>
    </row>
    <row r="24">
      <c r="A24" t="inlineStr">
        <is>
          <t>Cost of rehabilitation works</t>
        </is>
      </c>
      <c r="B24" s="8" t="n">
        <v>-6567710</v>
      </c>
      <c r="C24" s="8" t="n">
        <v>-4572085</v>
      </c>
      <c r="D24" s="8" t="n">
        <v>-16237206</v>
      </c>
      <c r="E24" s="8" t="n">
        <v>-11493301</v>
      </c>
    </row>
    <row r="25">
      <c r="A25" t="inlineStr">
        <is>
          <t>Foreign exchange gains (losses) – net</t>
        </is>
      </c>
      <c r="B25" s="8" t="n">
        <v>1478636</v>
      </c>
      <c r="C25" s="8" t="n">
        <v>-645894</v>
      </c>
      <c r="D25" s="8" t="n">
        <v>-590464</v>
      </c>
      <c r="E25" s="8" t="n">
        <v>-401449</v>
      </c>
    </row>
    <row r="26">
      <c r="A26" t="inlineStr">
        <is>
          <t>Foreign currency differentials</t>
        </is>
      </c>
      <c r="B26" s="8" t="n">
        <v>-1452565</v>
      </c>
      <c r="C26" s="8" t="n">
        <v>640744</v>
      </c>
      <c r="D26" s="8" t="n">
        <v>870537</v>
      </c>
      <c r="E26" s="8" t="n">
        <v>397255</v>
      </c>
    </row>
    <row r="27">
      <c r="A27" t="inlineStr">
        <is>
          <t>Interest expense</t>
        </is>
      </c>
      <c r="B27" s="8" t="n">
        <v>-902882</v>
      </c>
      <c r="C27" s="8" t="n">
        <v>-913565</v>
      </c>
      <c r="D27" s="8" t="n">
        <v>-2730796</v>
      </c>
      <c r="E27" s="8" t="n">
        <v>-2825693</v>
      </c>
    </row>
    <row r="28">
      <c r="A28" t="inlineStr">
        <is>
          <t>Interest income</t>
        </is>
      </c>
      <c r="B28" s="8" t="n">
        <v>104031</v>
      </c>
      <c r="C28" s="8" t="n">
        <v>79757</v>
      </c>
      <c r="D28" s="8" t="n">
        <v>302165</v>
      </c>
      <c r="E28" s="8" t="n">
        <v>235436</v>
      </c>
    </row>
    <row r="29">
      <c r="A29" t="inlineStr">
        <is>
          <t>Equity share in net income of associates</t>
        </is>
      </c>
      <c r="B29" s="8" t="n">
        <v>79001</v>
      </c>
      <c r="C29" s="8" t="n">
        <v>113715</v>
      </c>
      <c r="D29" s="8" t="n">
        <v>293909</v>
      </c>
      <c r="E29" s="8" t="n">
        <v>408948</v>
      </c>
    </row>
    <row r="30">
      <c r="A30" t="inlineStr">
        <is>
          <t>Losses on disposal of property and equipment – net</t>
        </is>
      </c>
      <c r="B30" s="8" t="n">
        <v>-253</v>
      </c>
      <c r="C30" s="8" t="n">
        <v>-1541</v>
      </c>
      <c r="D30" s="8" t="n">
        <v>-83</v>
      </c>
      <c r="E30" s="8" t="n">
        <v>-10882</v>
      </c>
    </row>
    <row r="31">
      <c r="A31" t="inlineStr">
        <is>
          <t>Other income (losses) - net</t>
        </is>
      </c>
      <c r="B31" s="8" t="n">
        <v>68164</v>
      </c>
      <c r="C31" s="8" t="n">
        <v>-1799</v>
      </c>
      <c r="D31" s="8" t="n">
        <v>497563</v>
      </c>
      <c r="E31" s="8" t="n">
        <v>346197</v>
      </c>
    </row>
    <row r="32">
      <c r="A32" t="inlineStr"/>
      <c r="B32" s="8" t="n">
        <v>-625868</v>
      </c>
      <c r="C32" s="8" t="n">
        <v>-728583</v>
      </c>
      <c r="D32" s="8" t="n">
        <v>-1357169</v>
      </c>
      <c r="E32" s="8" t="n">
        <v>-1850188</v>
      </c>
    </row>
    <row r="33">
      <c r="A33" t="inlineStr">
        <is>
          <t>INCOME BEFORE INCOME TAX FROM CONTINUING OPERATIONS</t>
        </is>
      </c>
      <c r="B33" s="8" t="n">
        <v>4356068</v>
      </c>
      <c r="C33" s="8" t="n">
        <v>3122679</v>
      </c>
      <c r="D33" s="8" t="n">
        <v>13707744</v>
      </c>
      <c r="E33" s="8" t="n">
        <v>9702849</v>
      </c>
    </row>
    <row r="34">
      <c r="A34" t="inlineStr">
        <is>
          <t>PROVISION FOR INCOME TAX - NET</t>
        </is>
      </c>
      <c r="B34" s="8" t="n">
        <v>1026274</v>
      </c>
      <c r="C34" s="8" t="n">
        <v>817676</v>
      </c>
      <c r="D34" s="8" t="n">
        <v>3217354</v>
      </c>
      <c r="E34" s="8" t="n">
        <v>2178219</v>
      </c>
    </row>
    <row r="35">
      <c r="A35" t="inlineStr">
        <is>
          <t>NET INCOME FROM CONTINUING OPERATIONS</t>
        </is>
      </c>
      <c r="B35" s="8" t="n">
        <v>3329794</v>
      </c>
      <c r="C35" s="8" t="n">
        <v>2305003</v>
      </c>
      <c r="D35" s="8" t="n">
        <v>10490390</v>
      </c>
      <c r="E35" s="8" t="n">
        <v>7524630</v>
      </c>
    </row>
    <row r="36">
      <c r="A36" t="inlineStr">
        <is>
          <t>NET LOSS FROM DISCONTINUED OPERATIONS</t>
        </is>
      </c>
      <c r="B36" s="8" t="n">
        <v>-856</v>
      </c>
      <c r="C36" s="8" t="n">
        <v>-9</v>
      </c>
      <c r="D36" s="8" t="n">
        <v>-1319</v>
      </c>
      <c r="E36" s="8" t="n">
        <v>-724</v>
      </c>
    </row>
    <row r="37">
      <c r="A37" t="inlineStr">
        <is>
          <t>NET INCOME</t>
        </is>
      </c>
      <c r="B37" s="8" t="n">
        <v>3328938</v>
      </c>
      <c r="C37" s="8" t="n">
        <v>2304994</v>
      </c>
      <c r="D37" s="8" t="n">
        <v>10489071</v>
      </c>
      <c r="E37" s="8" t="n">
        <v>7523906</v>
      </c>
    </row>
    <row r="38">
      <c r="A38" t="inlineStr">
        <is>
          <t>Cumulative translation adjustment</t>
        </is>
      </c>
      <c r="B38" s="8" t="n">
        <v>517375</v>
      </c>
      <c r="C38" s="8" t="n">
        <v>225749</v>
      </c>
      <c r="D38" s="8" t="n">
        <v>-99026</v>
      </c>
      <c r="E38" s="8" t="n">
        <v>348164</v>
      </c>
    </row>
    <row r="39">
      <c r="A39" t="inlineStr">
        <is>
          <t>Gain (loss) on net investment hedge</t>
        </is>
      </c>
      <c r="B39" s="8" t="n">
        <v>254032</v>
      </c>
      <c r="C39" s="8" t="n">
        <v>-135153</v>
      </c>
      <c r="D39" s="8" t="n">
        <v>-64831</v>
      </c>
      <c r="E39" s="8" t="n">
        <v>-80693</v>
      </c>
    </row>
    <row r="40">
      <c r="A40" t="inlineStr">
        <is>
          <t>Gain on cash flow hedge</t>
        </is>
      </c>
      <c r="C40" s="8" t="n">
        <v>666092</v>
      </c>
      <c r="E40" s="8" t="n">
        <v>507977</v>
      </c>
    </row>
    <row r="41">
      <c r="A41" t="inlineStr">
        <is>
          <t>Cost of hedging</t>
        </is>
      </c>
      <c r="C41" s="8" t="n">
        <v>127537</v>
      </c>
      <c r="E41" s="8" t="n">
        <v>-325843</v>
      </c>
    </row>
    <row r="42">
      <c r="A42" t="inlineStr">
        <is>
          <t>Income tax effect</t>
        </is>
      </c>
      <c r="B42" s="8" t="n">
        <v>-63508</v>
      </c>
      <c r="C42" s="8" t="n">
        <v>-164620</v>
      </c>
      <c r="D42" s="8" t="n">
        <v>16208</v>
      </c>
      <c r="E42" s="8" t="n">
        <v>-25361</v>
      </c>
    </row>
    <row r="43">
      <c r="A43" t="inlineStr"/>
      <c r="B43" s="8" t="n">
        <v>707899</v>
      </c>
      <c r="C43" s="8" t="n">
        <v>719605</v>
      </c>
      <c r="D43" s="8" t="n">
        <v>-147649</v>
      </c>
      <c r="E43" s="8" t="n">
        <v>424244</v>
      </c>
    </row>
    <row r="44">
      <c r="A44" t="inlineStr">
        <is>
          <t>Actuarial loss on pension liabilities</t>
        </is>
      </c>
      <c r="D44" s="8" t="n">
        <v>-48937</v>
      </c>
      <c r="E44" s="8" t="n">
        <v>-38717</v>
      </c>
    </row>
    <row r="45">
      <c r="A45" t="inlineStr">
        <is>
          <t>Equity share in other comprehensive income of an associate</t>
        </is>
      </c>
      <c r="B45" s="8" t="n">
        <v>330</v>
      </c>
      <c r="D45" s="8" t="n">
        <v>4663</v>
      </c>
    </row>
    <row r="46">
      <c r="A46" t="inlineStr">
        <is>
          <t>Income tax effect</t>
        </is>
      </c>
      <c r="D46" s="8" t="n">
        <v>12234</v>
      </c>
      <c r="E46" s="8" t="n">
        <v>9679</v>
      </c>
    </row>
    <row r="47">
      <c r="A47" t="inlineStr"/>
      <c r="B47" s="8" t="n">
        <v>330</v>
      </c>
      <c r="D47" s="8" t="n">
        <v>-32040</v>
      </c>
      <c r="E47" s="8" t="n">
        <v>-29038</v>
      </c>
    </row>
    <row r="48">
      <c r="A48" t="inlineStr">
        <is>
          <t>TOTAL COMPREHENSIVE INCOME</t>
        </is>
      </c>
      <c r="B48" s="8" t="n">
        <v>4037167</v>
      </c>
      <c r="C48" s="8" t="n">
        <v>3024599</v>
      </c>
      <c r="D48" s="8" t="n">
        <v>10309382</v>
      </c>
      <c r="E48" s="8" t="n">
        <v>7919112</v>
      </c>
    </row>
    <row r="49">
      <c r="A49" t="inlineStr">
        <is>
          <t>Equity holders of Manila Water Company, Inc.</t>
        </is>
      </c>
      <c r="B49" s="8" t="n">
        <v>3188029</v>
      </c>
      <c r="C49" s="8" t="n">
        <v>2214267</v>
      </c>
      <c r="D49" s="8" t="n">
        <v>10102596</v>
      </c>
      <c r="E49" s="8" t="n">
        <v>7262138</v>
      </c>
    </row>
    <row r="50">
      <c r="A50" t="inlineStr">
        <is>
          <t>Noncontrolling interests</t>
        </is>
      </c>
      <c r="B50" s="8" t="n">
        <v>140909</v>
      </c>
      <c r="C50" s="8" t="n">
        <v>90727</v>
      </c>
      <c r="D50" s="8" t="n">
        <v>386475</v>
      </c>
      <c r="E50" s="8" t="n">
        <v>261768</v>
      </c>
    </row>
    <row r="51">
      <c r="A51" t="inlineStr"/>
      <c r="B51" s="8" t="n">
        <v>3328938</v>
      </c>
      <c r="C51" s="8" t="n">
        <v>2304994</v>
      </c>
      <c r="D51" s="8" t="n">
        <v>10489071</v>
      </c>
      <c r="E51" s="8" t="n">
        <v>7523906</v>
      </c>
    </row>
    <row r="52">
      <c r="A52" t="inlineStr">
        <is>
          <t>Equity holders of Manila Water Company, Inc.</t>
        </is>
      </c>
      <c r="B52" s="8" t="n">
        <v>3896258</v>
      </c>
      <c r="C52" s="8" t="n">
        <v>2933872</v>
      </c>
      <c r="D52" s="8" t="n">
        <v>9922907</v>
      </c>
      <c r="E52" s="8" t="n">
        <v>7657344</v>
      </c>
    </row>
    <row r="53">
      <c r="A53" t="inlineStr">
        <is>
          <t>Noncontrolling interests</t>
        </is>
      </c>
      <c r="B53" s="8" t="n">
        <v>140909</v>
      </c>
      <c r="C53" s="8" t="n">
        <v>90727</v>
      </c>
      <c r="D53" s="8" t="n">
        <v>386475</v>
      </c>
      <c r="E53" s="8" t="n">
        <v>261768</v>
      </c>
    </row>
    <row r="54">
      <c r="A54" t="inlineStr"/>
      <c r="B54" s="8" t="n">
        <v>4037167</v>
      </c>
      <c r="C54" s="8" t="n">
        <v>3024599</v>
      </c>
      <c r="D54" s="8" t="n">
        <v>10309382</v>
      </c>
      <c r="E54" s="8" t="n">
        <v>7919112</v>
      </c>
    </row>
    <row r="55">
      <c r="A55" t="inlineStr">
        <is>
          <t>Basic</t>
        </is>
      </c>
      <c r="B55" s="9" t="n">
        <v>1.08</v>
      </c>
      <c r="C55" s="9" t="n">
        <v>0.67</v>
      </c>
      <c r="D55" s="9" t="n">
        <v>3.43</v>
      </c>
      <c r="E55" s="9" t="n">
        <v>2.21</v>
      </c>
    </row>
    <row r="56">
      <c r="A56" t="inlineStr">
        <is>
          <t>Diluted</t>
        </is>
      </c>
      <c r="B56" s="9" t="n">
        <v>1.08</v>
      </c>
      <c r="C56" s="9" t="n">
        <v>0.67</v>
      </c>
      <c r="D56" s="9" t="n">
        <v>3.43</v>
      </c>
      <c r="E56" s="9" t="n">
        <v>2.21</v>
      </c>
    </row>
    <row r="57">
      <c r="A57" t="inlineStr">
        <is>
          <t>Basic</t>
        </is>
      </c>
      <c r="B57" s="9" t="n">
        <v>1.08</v>
      </c>
      <c r="C57" s="9" t="n">
        <v>0.67</v>
      </c>
      <c r="D57" s="9" t="n">
        <v>3.43</v>
      </c>
      <c r="E57" s="9" t="n">
        <v>2.21</v>
      </c>
    </row>
    <row r="58">
      <c r="A58" t="inlineStr">
        <is>
          <t>Diluted</t>
        </is>
      </c>
      <c r="B58" s="9" t="n">
        <v>1.08</v>
      </c>
      <c r="C58" s="9" t="n">
        <v>0.67</v>
      </c>
      <c r="D58" s="9" t="n">
        <v>3.43</v>
      </c>
      <c r="E58" s="9" t="n">
        <v>2.21</v>
      </c>
    </row>
  </sheetData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SEGMENTS — Note 15, 9M 2024 (₱000, from filing)</t>
        </is>
      </c>
    </row>
    <row r="2">
      <c r="B2" s="7" t="inlineStr">
        <is>
          <t>Manila Conc.</t>
        </is>
      </c>
      <c r="C2" s="7" t="inlineStr">
        <is>
          <t>Domestic</t>
        </is>
      </c>
      <c r="D2" s="7" t="inlineStr">
        <is>
          <t>Foreign</t>
        </is>
      </c>
      <c r="E2" s="7" t="inlineStr">
        <is>
          <t>Consol. adj.</t>
        </is>
      </c>
      <c r="F2" s="7" t="inlineStr">
        <is>
          <t>Consolidated</t>
        </is>
      </c>
    </row>
    <row r="3">
      <c r="A3" t="inlineStr">
        <is>
          <t>Sales to external customers</t>
        </is>
      </c>
      <c r="B3" s="8" t="n">
        <v>21774720</v>
      </c>
      <c r="C3" s="8" t="n">
        <v>7470249</v>
      </c>
      <c r="D3" s="8" t="n">
        <v>3384</v>
      </c>
      <c r="E3" s="8" t="n">
        <v>-1839270</v>
      </c>
      <c r="F3" s="8" t="n">
        <v>27409083</v>
      </c>
    </row>
    <row r="4">
      <c r="A4" t="inlineStr">
        <is>
          <t>Finance income from contract assets</t>
        </is>
      </c>
      <c r="C4" s="8" t="n">
        <v>137983</v>
      </c>
      <c r="F4" s="8" t="n">
        <v>137983</v>
      </c>
    </row>
    <row r="5">
      <c r="A5" t="inlineStr">
        <is>
          <t>Costs and expenses (excluding depreciation and amortization)</t>
        </is>
      </c>
      <c r="B5" s="8" t="n">
        <v>6091672</v>
      </c>
      <c r="C5" s="8" t="n">
        <v>4245541</v>
      </c>
      <c r="D5" s="8" t="n">
        <v>56636</v>
      </c>
      <c r="E5" s="8" t="n">
        <v>-1644463</v>
      </c>
      <c r="F5" s="8" t="n">
        <v>8749386</v>
      </c>
    </row>
    <row r="6">
      <c r="A6" t="inlineStr">
        <is>
          <t>Depreciation and amortization</t>
        </is>
      </c>
      <c r="B6" s="8" t="n">
        <v>3038254</v>
      </c>
      <c r="C6" s="8" t="n">
        <v>720631</v>
      </c>
      <c r="D6" s="8" t="n">
        <v>958</v>
      </c>
      <c r="E6" s="8" t="n">
        <v>-27077</v>
      </c>
      <c r="F6" s="8" t="n">
        <v>3732766</v>
      </c>
    </row>
    <row r="7">
      <c r="A7" t="inlineStr">
        <is>
          <t>Equity share in net income of associates</t>
        </is>
      </c>
      <c r="D7" s="8" t="n">
        <v>293909</v>
      </c>
      <c r="F7" s="8" t="n">
        <v>293909</v>
      </c>
    </row>
    <row r="8">
      <c r="A8" t="inlineStr">
        <is>
          <t>Other income (expenses) - net</t>
        </is>
      </c>
      <c r="B8" s="8" t="n">
        <v>-533970</v>
      </c>
      <c r="C8" s="8" t="n">
        <v>-471283</v>
      </c>
      <c r="D8" s="8" t="n">
        <v>3569</v>
      </c>
      <c r="E8" s="8" t="n">
        <v>-649395</v>
      </c>
      <c r="F8" s="8" t="n">
        <v>-1651079</v>
      </c>
    </row>
    <row r="9">
      <c r="A9" t="inlineStr">
        <is>
          <t>Income (loss) before income tax</t>
        </is>
      </c>
      <c r="B9" s="8" t="n">
        <v>12110824</v>
      </c>
      <c r="C9" s="8" t="n">
        <v>2170777</v>
      </c>
      <c r="D9" s="8" t="n">
        <v>243268</v>
      </c>
      <c r="E9" s="8" t="n">
        <v>-817125</v>
      </c>
      <c r="F9" s="8" t="n">
        <v>13707744</v>
      </c>
    </row>
    <row r="10">
      <c r="A10" t="inlineStr">
        <is>
          <t>Provision for income tax</t>
        </is>
      </c>
      <c r="B10" s="8" t="n">
        <v>2785490</v>
      </c>
      <c r="C10" s="8" t="n">
        <v>415151</v>
      </c>
      <c r="D10" s="8" t="n">
        <v>506</v>
      </c>
      <c r="E10" s="8" t="n">
        <v>16207</v>
      </c>
      <c r="F10" s="8" t="n">
        <v>3217354</v>
      </c>
    </row>
    <row r="11">
      <c r="A11" t="inlineStr">
        <is>
          <t>Net income (loss) from continuing operations</t>
        </is>
      </c>
      <c r="B11" s="8" t="n">
        <v>9325334</v>
      </c>
      <c r="C11" s="8" t="n">
        <v>1755626</v>
      </c>
      <c r="D11" s="8" t="n">
        <v>242762</v>
      </c>
      <c r="E11" s="8" t="n">
        <v>-833332</v>
      </c>
      <c r="F11" s="8" t="n">
        <v>10490390</v>
      </c>
    </row>
    <row r="12">
      <c r="A12" t="inlineStr">
        <is>
          <t>Net loss from discontinued operations</t>
        </is>
      </c>
      <c r="C12" s="8" t="n">
        <v>-1319</v>
      </c>
      <c r="F12" s="8" t="n">
        <v>-1319</v>
      </c>
    </row>
    <row r="13">
      <c r="A13" t="inlineStr">
        <is>
          <t>Net income (loss)</t>
        </is>
      </c>
      <c r="B13" s="8" t="n">
        <v>9325334</v>
      </c>
      <c r="C13" s="8" t="n">
        <v>1754307</v>
      </c>
      <c r="D13" s="8" t="n">
        <v>242762</v>
      </c>
      <c r="E13" s="8" t="n">
        <v>-833332</v>
      </c>
      <c r="F13" s="8" t="n">
        <v>10489071</v>
      </c>
    </row>
    <row r="14">
      <c r="A14" t="inlineStr">
        <is>
          <t>Segment assets excluding investment in associates</t>
        </is>
      </c>
      <c r="B14" s="8" t="n">
        <v>186715025</v>
      </c>
      <c r="C14" s="8" t="n">
        <v>45888061</v>
      </c>
      <c r="D14" s="8" t="n">
        <v>14852941</v>
      </c>
      <c r="E14" s="8" t="n">
        <v>-35392208</v>
      </c>
      <c r="F14" s="8" t="n">
        <v>212063819</v>
      </c>
    </row>
    <row r="15">
      <c r="A15" t="inlineStr">
        <is>
          <t>Investment in associates</t>
        </is>
      </c>
      <c r="D15" s="8" t="n">
        <v>10761891</v>
      </c>
      <c r="E15" s="8" t="n">
        <v>771784</v>
      </c>
      <c r="F15" s="8" t="n">
        <v>11533675</v>
      </c>
    </row>
    <row r="16">
      <c r="A16" t="inlineStr">
        <is>
          <t>Segment liabilities</t>
        </is>
      </c>
      <c r="B16" s="8" t="n">
        <v>113004376</v>
      </c>
      <c r="C16" s="8" t="n">
        <v>29384270</v>
      </c>
      <c r="D16" s="8" t="n">
        <v>12935986</v>
      </c>
      <c r="E16" s="8" t="n">
        <v>-9320502</v>
      </c>
      <c r="F16" s="8" t="n">
        <v>146004130</v>
      </c>
    </row>
  </sheetData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CHARTS</t>
        </is>
      </c>
    </row>
  </sheetData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2026-06-09T01:50:25Z</dcterms:created>
  <dcterms:modified xmlns:dcterms="http://purl.org/dc/terms/" xmlns:xsi="http://www.w3.org/2001/XMLSchema-instance" xsi:type="dcterms:W3CDTF">2026-06-09T01:50:25Z</dcterms:modified>
</cp:coreProperties>
</file>